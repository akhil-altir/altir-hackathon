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rampally\Desktop\"/>
    </mc:Choice>
  </mc:AlternateContent>
  <xr:revisionPtr revIDLastSave="0" documentId="13_ncr:1_{1BE7ED58-57AB-4BA3-B3A4-A2217707E243}" xr6:coauthVersionLast="47" xr6:coauthVersionMax="47" xr10:uidLastSave="{00000000-0000-0000-0000-000000000000}"/>
  <bookViews>
    <workbookView xWindow="-110" yWindow="-110" windowWidth="19420" windowHeight="10300" xr2:uid="{3201F413-DCEA-4977-BE33-2882C131EADB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2" i="1" l="1"/>
  <c r="H53" i="1"/>
  <c r="H54" i="1"/>
  <c r="H55" i="1"/>
  <c r="H56" i="1"/>
  <c r="H51" i="1"/>
  <c r="G52" i="1"/>
  <c r="G53" i="1"/>
  <c r="G54" i="1"/>
  <c r="G55" i="1"/>
  <c r="G56" i="1"/>
  <c r="G51" i="1"/>
  <c r="F52" i="1"/>
  <c r="F53" i="1"/>
  <c r="F54" i="1"/>
  <c r="F55" i="1"/>
  <c r="F56" i="1"/>
  <c r="F51" i="1"/>
  <c r="E52" i="1"/>
  <c r="E53" i="1"/>
  <c r="E54" i="1"/>
  <c r="E55" i="1"/>
  <c r="E56" i="1"/>
  <c r="E51" i="1"/>
  <c r="D52" i="1"/>
  <c r="D53" i="1"/>
  <c r="D54" i="1"/>
  <c r="D55" i="1"/>
  <c r="D56" i="1"/>
  <c r="D51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" i="1"/>
</calcChain>
</file>

<file path=xl/sharedStrings.xml><?xml version="1.0" encoding="utf-8"?>
<sst xmlns="http://schemas.openxmlformats.org/spreadsheetml/2006/main" count="266" uniqueCount="158">
  <si>
    <t>SRN</t>
  </si>
  <si>
    <t>Emp ID</t>
  </si>
  <si>
    <t>Full Name</t>
  </si>
  <si>
    <t>Title</t>
  </si>
  <si>
    <t>Reporting Manager</t>
  </si>
  <si>
    <t>Primary Assignment</t>
  </si>
  <si>
    <t>Secondary Assignment</t>
  </si>
  <si>
    <t>ATI005</t>
  </si>
  <si>
    <t>Abhinay Sharma Sahasam</t>
  </si>
  <si>
    <t>Senior Engineering Manager - Test</t>
  </si>
  <si>
    <t>Sandeep Kumar Thatikonda</t>
  </si>
  <si>
    <t>Chip1</t>
  </si>
  <si>
    <t>ATI025</t>
  </si>
  <si>
    <t>Aditya Chopra</t>
  </si>
  <si>
    <t>Associate Director - Engineering</t>
  </si>
  <si>
    <t>Kandarp Shah</t>
  </si>
  <si>
    <t>Infra</t>
  </si>
  <si>
    <t>ATI001</t>
  </si>
  <si>
    <t>Anjan Kumar Nagboth</t>
  </si>
  <si>
    <t>Director</t>
  </si>
  <si>
    <t>Sai Nagboth</t>
  </si>
  <si>
    <t>Finance and Operations</t>
  </si>
  <si>
    <t>ATI042</t>
  </si>
  <si>
    <t>Arquish Ali Ansari</t>
  </si>
  <si>
    <t>Senior Software Engineer</t>
  </si>
  <si>
    <t>Ashok Kumar Sarraf</t>
  </si>
  <si>
    <t>Hyperfuel</t>
  </si>
  <si>
    <t>ATI045</t>
  </si>
  <si>
    <t>Director of Engineering</t>
  </si>
  <si>
    <t>Himanshu Gauba</t>
  </si>
  <si>
    <t>ATI028</t>
  </si>
  <si>
    <t>Bhawna Chauhan</t>
  </si>
  <si>
    <t>Senior Talent Acquisition</t>
  </si>
  <si>
    <t>Vasumathi Adwant</t>
  </si>
  <si>
    <t>Human Resources</t>
  </si>
  <si>
    <t>ATI015</t>
  </si>
  <si>
    <t>Deepti Nagboth</t>
  </si>
  <si>
    <t>Senior Principal Architect</t>
  </si>
  <si>
    <t>Foundation</t>
  </si>
  <si>
    <t>ATI016</t>
  </si>
  <si>
    <t>Deepti Vaidyula</t>
  </si>
  <si>
    <t>Associate Principal Engineer - Test</t>
  </si>
  <si>
    <t>Abhinay Sharma</t>
  </si>
  <si>
    <t>ATI032</t>
  </si>
  <si>
    <t>Gundimi Srinidhi</t>
  </si>
  <si>
    <t>ATI021</t>
  </si>
  <si>
    <t>Habib Sheikh</t>
  </si>
  <si>
    <t>ATI020</t>
  </si>
  <si>
    <t>Hari Krishna Bolla</t>
  </si>
  <si>
    <t>Associate Manager - Test</t>
  </si>
  <si>
    <t>JK Logix</t>
  </si>
  <si>
    <t>ATI034</t>
  </si>
  <si>
    <t>Hema Leena Errampally</t>
  </si>
  <si>
    <t>Lead Human Resources</t>
  </si>
  <si>
    <t>ATI027</t>
  </si>
  <si>
    <t>Vice President Engineering</t>
  </si>
  <si>
    <t>Management</t>
  </si>
  <si>
    <t>ATI039</t>
  </si>
  <si>
    <t>Imaduddin Mohammad</t>
  </si>
  <si>
    <t>Senior DevOps Engineer</t>
  </si>
  <si>
    <t>ATI038</t>
  </si>
  <si>
    <t>Manjunath Shivanand Kalagi</t>
  </si>
  <si>
    <t>SDET 1</t>
  </si>
  <si>
    <t>ATI022</t>
  </si>
  <si>
    <t>Nagababu Guddati</t>
  </si>
  <si>
    <t>Associate Principal Engineer</t>
  </si>
  <si>
    <t>Satish Goud Bathini</t>
  </si>
  <si>
    <t>Data Team</t>
  </si>
  <si>
    <t>ATI004</t>
  </si>
  <si>
    <t>Om Naresh Sreenivasan</t>
  </si>
  <si>
    <t>Senior Technical Product Manager</t>
  </si>
  <si>
    <t>ATI017</t>
  </si>
  <si>
    <t>Phani Yedidi</t>
  </si>
  <si>
    <t>ATI007</t>
  </si>
  <si>
    <t>Pranab Dutta</t>
  </si>
  <si>
    <t>Senior Architect</t>
  </si>
  <si>
    <t>ATI008</t>
  </si>
  <si>
    <t>Pratyush Mehul Kota</t>
  </si>
  <si>
    <t>ATI031</t>
  </si>
  <si>
    <t>Sahithi Muppa</t>
  </si>
  <si>
    <t>Lead SDET</t>
  </si>
  <si>
    <t>ATI009</t>
  </si>
  <si>
    <t>Soundful</t>
  </si>
  <si>
    <t>ATI026</t>
  </si>
  <si>
    <t>Satish Bathini</t>
  </si>
  <si>
    <t>Engineering Manager</t>
  </si>
  <si>
    <t>Srinivas Sanka</t>
  </si>
  <si>
    <t>ATI036</t>
  </si>
  <si>
    <t>Shivananda Sai</t>
  </si>
  <si>
    <t>ATI011</t>
  </si>
  <si>
    <t>Tejaswini Allagadda</t>
  </si>
  <si>
    <t>ATI010</t>
  </si>
  <si>
    <t>Thyagaraju Gopalakrishna</t>
  </si>
  <si>
    <t>Senior System Ops Engineer</t>
  </si>
  <si>
    <t>ATI033</t>
  </si>
  <si>
    <t>Uma Mahesh Mutyala</t>
  </si>
  <si>
    <t>SDET II</t>
  </si>
  <si>
    <t>ATI044</t>
  </si>
  <si>
    <t>Vanshika Sachdev</t>
  </si>
  <si>
    <t>ATI040</t>
  </si>
  <si>
    <t>Varun Deviprasad Kukade</t>
  </si>
  <si>
    <t>ATI023</t>
  </si>
  <si>
    <t>Associate Director - Human Resources</t>
  </si>
  <si>
    <t>ATI012</t>
  </si>
  <si>
    <t>Venkat Krishna Kodakandla</t>
  </si>
  <si>
    <t>Hyperfuel &amp; Soundful</t>
  </si>
  <si>
    <t>ATI037</t>
  </si>
  <si>
    <t>Vinay Kumar Bajjuri</t>
  </si>
  <si>
    <t>ATI046</t>
  </si>
  <si>
    <t>Harika G</t>
  </si>
  <si>
    <t>ATI047</t>
  </si>
  <si>
    <t>Arvind Dhakar</t>
  </si>
  <si>
    <t>ATI048</t>
  </si>
  <si>
    <t>Krupa Panchal</t>
  </si>
  <si>
    <t>ATI049</t>
  </si>
  <si>
    <t>Nikhil Kumar Singh</t>
  </si>
  <si>
    <t>Software Engineer</t>
  </si>
  <si>
    <t>ATI050</t>
  </si>
  <si>
    <t>Aditya Jain</t>
  </si>
  <si>
    <t>ATI051</t>
  </si>
  <si>
    <t>Akhilesh Gupta Ainapur</t>
  </si>
  <si>
    <t>Director – AI Solutions</t>
  </si>
  <si>
    <t>ATI052</t>
  </si>
  <si>
    <t>Dipak Majhi</t>
  </si>
  <si>
    <t>ATIT01</t>
  </si>
  <si>
    <t>Aishwarya Reddy</t>
  </si>
  <si>
    <t>Intern</t>
  </si>
  <si>
    <t>ATIT03</t>
  </si>
  <si>
    <t>Tanmay Sanjay Lautawar</t>
  </si>
  <si>
    <t>ATIT04</t>
  </si>
  <si>
    <t>Srilochan Kalakunta</t>
  </si>
  <si>
    <t>ATIT05</t>
  </si>
  <si>
    <t>Priyanshi Minesh Shah</t>
  </si>
  <si>
    <t>AI POC</t>
  </si>
  <si>
    <t>Altir Employees List</t>
  </si>
  <si>
    <t>FastTrack</t>
  </si>
  <si>
    <t>Email ID</t>
  </si>
  <si>
    <t>areddy@altir.co</t>
  </si>
  <si>
    <t>tlautawar@altir.co</t>
  </si>
  <si>
    <t>skalakunta@altir.co</t>
  </si>
  <si>
    <t>pshah@altir.co</t>
  </si>
  <si>
    <t xml:space="preserve">EU </t>
  </si>
  <si>
    <t>Employment Type</t>
  </si>
  <si>
    <t>Permanent/Consultant</t>
  </si>
  <si>
    <t>AEU024</t>
  </si>
  <si>
    <t>Alexey Duduk</t>
  </si>
  <si>
    <t>Permanent</t>
  </si>
  <si>
    <t>AEU025</t>
  </si>
  <si>
    <t>Alex Yermakov</t>
  </si>
  <si>
    <t>AEU027</t>
  </si>
  <si>
    <t>Andrey Kuznetcov</t>
  </si>
  <si>
    <t>Consultant</t>
  </si>
  <si>
    <t>AEU017</t>
  </si>
  <si>
    <t>Mikita Monich</t>
  </si>
  <si>
    <t>AEU008</t>
  </si>
  <si>
    <t>Sergei Vareyko</t>
  </si>
  <si>
    <t>AEU023</t>
  </si>
  <si>
    <t>Sergey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</si>
</sst>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9"/>
      <color rgb="FF000000"/>
      <name val="Verdana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1A983"/>
      <name val="Aptos Narrow"/>
      <family val="2"/>
      <scheme val="minor"/>
    </font>
    <font>
      <sz val="11"/>
      <color rgb="FF196B24"/>
      <name val="Aptos Narrow"/>
      <family val="2"/>
      <scheme val="minor"/>
    </font>
    <font>
      <sz val="11"/>
      <color rgb="FFE97132"/>
      <name val="Aptos Narrow"/>
      <family val="2"/>
      <scheme val="minor"/>
    </font>
    <font>
      <sz val="11"/>
      <color rgb="FF242424"/>
      <name val="Aptos Narrow"/>
      <family val="2"/>
      <scheme val="minor"/>
    </font>
    <font>
      <b/>
      <sz val="16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indexed="8"/>
      <name val="Aptos Narrow"/>
      <family val="2"/>
    </font>
    <font>
      <b/>
      <sz val="11"/>
      <color indexed="8"/>
      <name val="Aptos Narrow"/>
      <family val="2"/>
    </font>
    <font>
      <b/>
      <sz val="11"/>
      <color rgb="FF242424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AE9F8"/>
        <bgColor rgb="FFFF9900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2" borderId="2" xfId="0" applyFont="1" applyFill="1" applyBorder="1" applyAlignment="1">
      <alignment horizontal="left" wrapText="1"/>
    </xf>
    <xf numFmtId="0" fontId="1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wrapText="1"/>
    </xf>
    <xf numFmtId="0" fontId="2" fillId="4" borderId="2" xfId="0" applyFont="1" applyFill="1" applyBorder="1" applyAlignment="1">
      <alignment horizontal="left" wrapText="1"/>
    </xf>
    <xf numFmtId="0" fontId="2" fillId="4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4" fillId="3" borderId="2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2" fillId="0" borderId="2" xfId="0" applyFont="1" applyBorder="1"/>
    <xf numFmtId="0" fontId="7" fillId="0" borderId="2" xfId="0" applyFont="1" applyBorder="1"/>
    <xf numFmtId="0" fontId="8" fillId="5" borderId="3" xfId="0" applyFont="1" applyFill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0" fillId="0" borderId="2" xfId="0" applyBorder="1"/>
    <xf numFmtId="0" fontId="9" fillId="0" borderId="2" xfId="1" applyBorder="1"/>
    <xf numFmtId="0" fontId="11" fillId="0" borderId="2" xfId="0" applyNumberFormat="1" applyFont="1" applyFill="1" applyBorder="1" applyAlignment="1" applyProtection="1"/>
    <xf numFmtId="0" fontId="10" fillId="0" borderId="2" xfId="0" applyNumberFormat="1" applyFont="1" applyFill="1" applyBorder="1" applyAlignment="1" applyProtection="1"/>
    <xf numFmtId="0" fontId="10" fillId="0" borderId="2" xfId="0" applyNumberFormat="1" applyFont="1" applyFill="1" applyBorder="1" applyAlignment="1" applyProtection="1">
      <alignment horizontal="left"/>
    </xf>
    <xf numFmtId="0" fontId="10" fillId="0" borderId="2" xfId="0" applyNumberFormat="1" applyFont="1" applyFill="1" applyBorder="1" applyAlignment="1" applyProtection="1">
      <alignment horizontal="left" wrapText="1"/>
    </xf>
    <xf numFmtId="0" fontId="12" fillId="0" borderId="0" xfId="0" applyFont="1" applyFill="1" applyBorder="1"/>
    <xf numFmtId="0" fontId="10" fillId="6" borderId="2" xfId="0" applyNumberFormat="1" applyFont="1" applyFill="1" applyBorder="1" applyAlignment="1" applyProtection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ATI005</v>
          </cell>
          <cell r="B2" t="str">
            <v>Abhinay</v>
          </cell>
          <cell r="C2" t="str">
            <v>Sharma</v>
          </cell>
          <cell r="D2" t="str">
            <v>Sahasam</v>
          </cell>
          <cell r="E2" t="str">
            <v>Senior Engineering Manager - Test</v>
          </cell>
          <cell r="F2" t="str">
            <v>asharma@altir.co</v>
          </cell>
        </row>
        <row r="3">
          <cell r="A3" t="str">
            <v>ATI025</v>
          </cell>
          <cell r="B3" t="str">
            <v>Aditya</v>
          </cell>
          <cell r="C3" t="str">
            <v/>
          </cell>
          <cell r="D3" t="str">
            <v>Chopra</v>
          </cell>
          <cell r="E3" t="str">
            <v>Associate Director - Engineering</v>
          </cell>
          <cell r="F3" t="str">
            <v>achopra@altir.co</v>
          </cell>
        </row>
        <row r="4">
          <cell r="A4" t="str">
            <v>ATI050</v>
          </cell>
          <cell r="B4" t="str">
            <v>Aditya</v>
          </cell>
          <cell r="C4" t="str">
            <v/>
          </cell>
          <cell r="D4" t="str">
            <v>Jain</v>
          </cell>
          <cell r="E4" t="str">
            <v>Senior Software Engineer</v>
          </cell>
          <cell r="F4" t="str">
            <v>ajain@altir.co</v>
          </cell>
        </row>
        <row r="5">
          <cell r="A5" t="str">
            <v>ATI051</v>
          </cell>
          <cell r="B5" t="str">
            <v>Akhilesh</v>
          </cell>
          <cell r="C5" t="str">
            <v>Gupta</v>
          </cell>
          <cell r="D5" t="str">
            <v>Ainapur</v>
          </cell>
          <cell r="E5" t="str">
            <v>Director – AI Solutions</v>
          </cell>
          <cell r="F5" t="str">
            <v>akhil@altir.co</v>
          </cell>
        </row>
        <row r="6">
          <cell r="A6" t="str">
            <v>ATI001</v>
          </cell>
          <cell r="B6" t="str">
            <v>Anjan</v>
          </cell>
          <cell r="C6" t="str">
            <v>Kumar</v>
          </cell>
          <cell r="D6" t="str">
            <v>Nagboth</v>
          </cell>
          <cell r="E6" t="str">
            <v>Director</v>
          </cell>
          <cell r="F6" t="str">
            <v>anjan@altir.co</v>
          </cell>
        </row>
        <row r="7">
          <cell r="A7" t="str">
            <v>ATI042</v>
          </cell>
          <cell r="B7" t="str">
            <v>Arquish</v>
          </cell>
          <cell r="C7" t="str">
            <v>Ali</v>
          </cell>
          <cell r="D7" t="str">
            <v>Ansari</v>
          </cell>
          <cell r="E7" t="str">
            <v>Senior Software Engineer</v>
          </cell>
          <cell r="F7" t="str">
            <v>aali@altir.co</v>
          </cell>
        </row>
        <row r="8">
          <cell r="A8" t="str">
            <v>ATI047</v>
          </cell>
          <cell r="B8" t="str">
            <v>Arvind</v>
          </cell>
          <cell r="C8" t="str">
            <v/>
          </cell>
          <cell r="D8" t="str">
            <v>Dhakar</v>
          </cell>
          <cell r="E8" t="str">
            <v>Senior Software Engineer</v>
          </cell>
          <cell r="F8" t="str">
            <v>adhakar@altir.co</v>
          </cell>
        </row>
        <row r="9">
          <cell r="A9" t="str">
            <v>ATI045</v>
          </cell>
          <cell r="B9" t="str">
            <v>Ashok Kumar</v>
          </cell>
          <cell r="C9" t="str">
            <v/>
          </cell>
          <cell r="D9" t="str">
            <v>Sarraf</v>
          </cell>
          <cell r="E9" t="str">
            <v>Director of Engineering</v>
          </cell>
          <cell r="F9" t="str">
            <v>asarraf@altir.co</v>
          </cell>
        </row>
        <row r="10">
          <cell r="A10" t="str">
            <v>ATI028</v>
          </cell>
          <cell r="B10" t="str">
            <v>Bhawna</v>
          </cell>
          <cell r="C10" t="str">
            <v/>
          </cell>
          <cell r="D10" t="str">
            <v>Chauhan</v>
          </cell>
          <cell r="E10" t="str">
            <v>Senior Talent Acquisition</v>
          </cell>
          <cell r="F10" t="str">
            <v>bchauhan@altir.co</v>
          </cell>
        </row>
        <row r="11">
          <cell r="A11" t="str">
            <v>ATI015</v>
          </cell>
          <cell r="B11" t="str">
            <v>Deepti</v>
          </cell>
          <cell r="C11" t="str">
            <v/>
          </cell>
          <cell r="D11" t="str">
            <v>Nagboth</v>
          </cell>
          <cell r="E11" t="str">
            <v>Senior Principal Architect</v>
          </cell>
          <cell r="F11" t="str">
            <v>dnagboth@altir.co</v>
          </cell>
        </row>
        <row r="12">
          <cell r="A12" t="str">
            <v>ATI016</v>
          </cell>
          <cell r="B12" t="str">
            <v>Deepti</v>
          </cell>
          <cell r="C12" t="str">
            <v/>
          </cell>
          <cell r="D12" t="str">
            <v>Vaidyula</v>
          </cell>
          <cell r="E12" t="str">
            <v>Associate Principal Engineer - Test</v>
          </cell>
          <cell r="F12" t="str">
            <v>dvaidyula@altir.co</v>
          </cell>
        </row>
        <row r="13">
          <cell r="A13" t="str">
            <v>ATI052</v>
          </cell>
          <cell r="B13" t="str">
            <v>Dipak</v>
          </cell>
          <cell r="C13" t="str">
            <v/>
          </cell>
          <cell r="D13" t="str">
            <v>Majhi</v>
          </cell>
          <cell r="E13" t="str">
            <v>Senior Technical Product Manager</v>
          </cell>
          <cell r="F13" t="str">
            <v>dmajhi@altir.co</v>
          </cell>
        </row>
        <row r="14">
          <cell r="A14" t="str">
            <v>ATI032</v>
          </cell>
          <cell r="B14" t="str">
            <v>Gundimi</v>
          </cell>
          <cell r="C14" t="str">
            <v/>
          </cell>
          <cell r="D14" t="str">
            <v>Srinidhi</v>
          </cell>
          <cell r="E14" t="str">
            <v>Senior Software Engineer</v>
          </cell>
          <cell r="F14" t="str">
            <v>sgundimi@altir.co</v>
          </cell>
        </row>
        <row r="15">
          <cell r="A15" t="str">
            <v>ATI021</v>
          </cell>
          <cell r="B15" t="str">
            <v>Habib</v>
          </cell>
          <cell r="C15" t="str">
            <v/>
          </cell>
          <cell r="D15" t="str">
            <v>Sheikh</v>
          </cell>
          <cell r="E15" t="str">
            <v>Senior Software Engineer</v>
          </cell>
          <cell r="F15" t="str">
            <v>shabib@altir.co</v>
          </cell>
        </row>
        <row r="16">
          <cell r="A16" t="str">
            <v>ATI020</v>
          </cell>
          <cell r="B16" t="str">
            <v>Hari</v>
          </cell>
          <cell r="C16" t="str">
            <v>Krishna</v>
          </cell>
          <cell r="D16" t="str">
            <v>Bolla</v>
          </cell>
          <cell r="E16" t="str">
            <v>Associate Manager - Test</v>
          </cell>
          <cell r="F16" t="str">
            <v>hbolla@altir.co</v>
          </cell>
        </row>
        <row r="17">
          <cell r="A17" t="str">
            <v>ATI046</v>
          </cell>
          <cell r="B17" t="str">
            <v>Harika</v>
          </cell>
          <cell r="C17" t="str">
            <v/>
          </cell>
          <cell r="D17" t="str">
            <v>Guntamukkala</v>
          </cell>
          <cell r="E17" t="str">
            <v>SDET 1</v>
          </cell>
          <cell r="F17" t="str">
            <v>hguntamukkala@altir.co</v>
          </cell>
        </row>
        <row r="18">
          <cell r="A18" t="str">
            <v>ATI034</v>
          </cell>
          <cell r="B18" t="str">
            <v>Hema Leena</v>
          </cell>
          <cell r="C18" t="str">
            <v/>
          </cell>
          <cell r="D18" t="str">
            <v>Errampally</v>
          </cell>
          <cell r="E18" t="str">
            <v>Lead Human Resources</v>
          </cell>
          <cell r="F18" t="str">
            <v>herrampally@altir.co</v>
          </cell>
        </row>
        <row r="19">
          <cell r="A19" t="str">
            <v>ATI027</v>
          </cell>
          <cell r="B19" t="str">
            <v>Himanshu</v>
          </cell>
          <cell r="C19" t="str">
            <v/>
          </cell>
          <cell r="D19" t="str">
            <v>Gauba</v>
          </cell>
          <cell r="E19" t="str">
            <v>Vice President Engineering</v>
          </cell>
          <cell r="F19" t="str">
            <v>himanshu@altir.co</v>
          </cell>
        </row>
        <row r="20">
          <cell r="A20" t="str">
            <v>ATI039</v>
          </cell>
          <cell r="B20" t="str">
            <v>Imaduddin</v>
          </cell>
          <cell r="C20" t="str">
            <v/>
          </cell>
          <cell r="D20" t="str">
            <v>Mohammad</v>
          </cell>
          <cell r="E20" t="str">
            <v>Senior DevOps Engineer</v>
          </cell>
          <cell r="F20" t="str">
            <v>imohammad@altir.co</v>
          </cell>
        </row>
        <row r="21">
          <cell r="A21" t="str">
            <v>ATI048</v>
          </cell>
          <cell r="B21" t="str">
            <v>Krupa</v>
          </cell>
          <cell r="C21" t="str">
            <v>Dhirubhai</v>
          </cell>
          <cell r="D21" t="str">
            <v>Panchal</v>
          </cell>
          <cell r="E21" t="str">
            <v>Senior Software Engineer</v>
          </cell>
          <cell r="F21" t="str">
            <v>kpanchal@altir.co</v>
          </cell>
        </row>
        <row r="22">
          <cell r="A22" t="str">
            <v>ATI038</v>
          </cell>
          <cell r="B22" t="str">
            <v>Manjunath</v>
          </cell>
          <cell r="C22" t="str">
            <v>Shivanand</v>
          </cell>
          <cell r="D22" t="str">
            <v>Kalagi</v>
          </cell>
          <cell r="E22" t="str">
            <v>SDET 1</v>
          </cell>
          <cell r="F22" t="str">
            <v>mkalagi@altir.co</v>
          </cell>
        </row>
        <row r="23">
          <cell r="A23" t="str">
            <v>ATI022</v>
          </cell>
          <cell r="B23" t="str">
            <v>Nagababu</v>
          </cell>
          <cell r="C23" t="str">
            <v/>
          </cell>
          <cell r="D23" t="str">
            <v>Guddati</v>
          </cell>
          <cell r="E23" t="str">
            <v>Associate Principal Engineer</v>
          </cell>
          <cell r="F23" t="str">
            <v>nguddati@altir.co</v>
          </cell>
        </row>
        <row r="24">
          <cell r="A24" t="str">
            <v>ATI049</v>
          </cell>
          <cell r="B24" t="str">
            <v>Nikhil</v>
          </cell>
          <cell r="C24" t="str">
            <v>Kumar</v>
          </cell>
          <cell r="D24" t="str">
            <v>Singh</v>
          </cell>
          <cell r="E24" t="str">
            <v>Software Engineer</v>
          </cell>
          <cell r="F24" t="str">
            <v>nkumar@altir.co</v>
          </cell>
        </row>
        <row r="25">
          <cell r="A25" t="str">
            <v>ATI004</v>
          </cell>
          <cell r="B25" t="str">
            <v>Om</v>
          </cell>
          <cell r="C25" t="str">
            <v>Naresh</v>
          </cell>
          <cell r="D25" t="str">
            <v>Sreenivasan</v>
          </cell>
          <cell r="E25" t="str">
            <v>Senior Technical Product Manager</v>
          </cell>
          <cell r="F25" t="str">
            <v>osreenivasan@altir.co</v>
          </cell>
        </row>
        <row r="26">
          <cell r="A26" t="str">
            <v>ATI017</v>
          </cell>
          <cell r="B26" t="str">
            <v>Phani</v>
          </cell>
          <cell r="C26" t="str">
            <v/>
          </cell>
          <cell r="D26" t="str">
            <v>Yedidi</v>
          </cell>
          <cell r="E26" t="str">
            <v>Senior Technical Product Manager</v>
          </cell>
          <cell r="F26" t="str">
            <v>pyedidi@altir.co</v>
          </cell>
        </row>
        <row r="27">
          <cell r="A27" t="str">
            <v>ATI007</v>
          </cell>
          <cell r="B27" t="str">
            <v>Pranab</v>
          </cell>
          <cell r="C27" t="str">
            <v/>
          </cell>
          <cell r="D27" t="str">
            <v>Dutta</v>
          </cell>
          <cell r="E27" t="str">
            <v>Senior Architect</v>
          </cell>
          <cell r="F27" t="str">
            <v>pdutta@altir.co</v>
          </cell>
        </row>
        <row r="28">
          <cell r="A28" t="str">
            <v>ATI008</v>
          </cell>
          <cell r="B28" t="str">
            <v>Pratyush</v>
          </cell>
          <cell r="C28" t="str">
            <v>Mehul</v>
          </cell>
          <cell r="D28" t="str">
            <v>Kota</v>
          </cell>
          <cell r="E28" t="str">
            <v>Senior Software Engineer</v>
          </cell>
          <cell r="F28" t="str">
            <v>pkota@altir.co</v>
          </cell>
        </row>
        <row r="29">
          <cell r="A29" t="str">
            <v>ATI031</v>
          </cell>
          <cell r="B29" t="str">
            <v>Sahithi</v>
          </cell>
          <cell r="C29" t="str">
            <v/>
          </cell>
          <cell r="D29" t="str">
            <v>Muppa</v>
          </cell>
          <cell r="E29" t="str">
            <v>Lead SDET</v>
          </cell>
          <cell r="F29" t="str">
            <v>smuppa@altir.co</v>
          </cell>
        </row>
        <row r="30">
          <cell r="A30" t="str">
            <v>ATI009</v>
          </cell>
          <cell r="B30" t="str">
            <v>Sandeep</v>
          </cell>
          <cell r="C30" t="str">
            <v>Kumar</v>
          </cell>
          <cell r="D30" t="str">
            <v>Thatikonda</v>
          </cell>
          <cell r="E30" t="str">
            <v>Director of Engineering</v>
          </cell>
          <cell r="F30" t="str">
            <v>sthatikonda@altir.co</v>
          </cell>
        </row>
        <row r="31">
          <cell r="A31" t="str">
            <v>ATI026</v>
          </cell>
          <cell r="B31" t="str">
            <v>Satish</v>
          </cell>
          <cell r="C31" t="str">
            <v/>
          </cell>
          <cell r="D31" t="str">
            <v>Bathini</v>
          </cell>
          <cell r="E31" t="str">
            <v>Engineering Manager</v>
          </cell>
          <cell r="F31" t="str">
            <v>sbathini@altir.co</v>
          </cell>
        </row>
        <row r="32">
          <cell r="A32" t="str">
            <v>ATI036</v>
          </cell>
          <cell r="B32" t="str">
            <v>Shivananda</v>
          </cell>
          <cell r="C32" t="str">
            <v/>
          </cell>
          <cell r="D32" t="str">
            <v>Sai</v>
          </cell>
          <cell r="E32" t="str">
            <v>Senior Software Engineer</v>
          </cell>
          <cell r="F32" t="str">
            <v>shivananda.sai@altir.co</v>
          </cell>
        </row>
        <row r="33">
          <cell r="A33" t="str">
            <v>ATI011</v>
          </cell>
          <cell r="B33" t="str">
            <v>Tejaswini</v>
          </cell>
          <cell r="C33" t="str">
            <v/>
          </cell>
          <cell r="D33" t="str">
            <v>Allagadda</v>
          </cell>
          <cell r="E33" t="str">
            <v>Senior Software Engineer</v>
          </cell>
          <cell r="F33" t="str">
            <v>tallagadda@altir.co</v>
          </cell>
        </row>
        <row r="34">
          <cell r="A34" t="str">
            <v>ATI010</v>
          </cell>
          <cell r="B34" t="str">
            <v>Thyagaraju</v>
          </cell>
          <cell r="C34" t="str">
            <v/>
          </cell>
          <cell r="D34" t="str">
            <v>Gopalakrishna</v>
          </cell>
          <cell r="E34" t="str">
            <v>Senior System Ops Engineer</v>
          </cell>
          <cell r="F34" t="str">
            <v>tgopalakrishna@altir.co</v>
          </cell>
        </row>
        <row r="35">
          <cell r="A35" t="str">
            <v>ATI033</v>
          </cell>
          <cell r="B35" t="str">
            <v>Uma Mahesh</v>
          </cell>
          <cell r="C35" t="str">
            <v/>
          </cell>
          <cell r="D35" t="str">
            <v>Mutyala</v>
          </cell>
          <cell r="E35" t="str">
            <v>SDET II</v>
          </cell>
          <cell r="F35" t="str">
            <v>umutyala@altir.co</v>
          </cell>
        </row>
        <row r="36">
          <cell r="A36" t="str">
            <v>ATI044</v>
          </cell>
          <cell r="B36" t="str">
            <v>Vanshika</v>
          </cell>
          <cell r="C36" t="str">
            <v/>
          </cell>
          <cell r="D36" t="str">
            <v>Sachdev</v>
          </cell>
          <cell r="E36" t="str">
            <v>Senior Software Engineer</v>
          </cell>
          <cell r="F36" t="str">
            <v>vsachdev@altir.co</v>
          </cell>
        </row>
        <row r="37">
          <cell r="A37" t="str">
            <v>ATI040</v>
          </cell>
          <cell r="B37" t="str">
            <v>Varun</v>
          </cell>
          <cell r="C37" t="str">
            <v>Deviprasad</v>
          </cell>
          <cell r="D37" t="str">
            <v>Kukade</v>
          </cell>
          <cell r="E37" t="str">
            <v>Senior Software Engineer</v>
          </cell>
          <cell r="F37" t="str">
            <v>vkukade@altir.co</v>
          </cell>
        </row>
        <row r="38">
          <cell r="A38" t="str">
            <v>ATI023</v>
          </cell>
          <cell r="B38" t="str">
            <v>Vasumathi</v>
          </cell>
          <cell r="C38" t="str">
            <v/>
          </cell>
          <cell r="D38" t="str">
            <v>Adwant</v>
          </cell>
          <cell r="E38" t="str">
            <v>Associate Director - Human Resources</v>
          </cell>
          <cell r="F38" t="str">
            <v>vadwant@altir.co</v>
          </cell>
        </row>
        <row r="39">
          <cell r="A39" t="str">
            <v>ATI012</v>
          </cell>
          <cell r="B39" t="str">
            <v>Venkat</v>
          </cell>
          <cell r="C39" t="str">
            <v>Krishna</v>
          </cell>
          <cell r="D39" t="str">
            <v>Kodakandla</v>
          </cell>
          <cell r="E39" t="str">
            <v>Senior Technical Product Manager</v>
          </cell>
          <cell r="F39" t="str">
            <v>vkodakandla@altir.co</v>
          </cell>
        </row>
        <row r="40">
          <cell r="A40" t="str">
            <v>ATI037</v>
          </cell>
          <cell r="B40" t="str">
            <v>Vinay</v>
          </cell>
          <cell r="C40" t="str">
            <v>Kumar</v>
          </cell>
          <cell r="D40" t="str">
            <v>Bajjuri</v>
          </cell>
          <cell r="E40" t="str">
            <v>Senior Software Engineer</v>
          </cell>
          <cell r="F40" t="str">
            <v>vbajjuri@altir.co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2">
          <cell r="A2" t="str">
            <v>AEU025</v>
          </cell>
          <cell r="B2" t="str">
            <v>Alex</v>
          </cell>
          <cell r="C2" t="str">
            <v/>
          </cell>
          <cell r="D2" t="str">
            <v>Yermakov</v>
          </cell>
          <cell r="E2" t="str">
            <v>Lead UI</v>
          </cell>
          <cell r="F2" t="str">
            <v>ayermakov@altir.co</v>
          </cell>
          <cell r="G2" t="str">
            <v>Male</v>
          </cell>
          <cell r="H2" t="str">
            <v>Full time</v>
          </cell>
          <cell r="I2">
            <v>44692</v>
          </cell>
          <cell r="J2" t="str">
            <v>Europe</v>
          </cell>
          <cell r="K2" t="str">
            <v/>
          </cell>
          <cell r="L2" t="str">
            <v>Sandeep Kumar Thatikonda</v>
          </cell>
          <cell r="M2" t="str">
            <v>sthatikonda@altir.co</v>
          </cell>
          <cell r="N2" t="str">
            <v>Chip1</v>
          </cell>
        </row>
        <row r="3">
          <cell r="A3" t="str">
            <v>AEU024</v>
          </cell>
          <cell r="B3" t="str">
            <v>Alexey</v>
          </cell>
          <cell r="C3" t="str">
            <v/>
          </cell>
          <cell r="D3" t="str">
            <v>Duduk</v>
          </cell>
          <cell r="E3" t="str">
            <v>Lead UI</v>
          </cell>
          <cell r="F3" t="str">
            <v>aduduk@altir.co</v>
          </cell>
          <cell r="G3" t="str">
            <v>Male</v>
          </cell>
          <cell r="H3" t="str">
            <v>Full time</v>
          </cell>
          <cell r="I3">
            <v>44692</v>
          </cell>
          <cell r="J3" t="str">
            <v>Europe</v>
          </cell>
          <cell r="K3" t="str">
            <v>Soundful</v>
          </cell>
          <cell r="L3" t="str">
            <v>Sandeep Kumar Thatikonda</v>
          </cell>
          <cell r="M3" t="str">
            <v>sthatikonda@altir.co</v>
          </cell>
          <cell r="N3" t="str">
            <v>Chip1</v>
          </cell>
        </row>
        <row r="4">
          <cell r="A4" t="str">
            <v>AEU027</v>
          </cell>
          <cell r="B4" t="str">
            <v>Andrey</v>
          </cell>
          <cell r="C4" t="str">
            <v/>
          </cell>
          <cell r="D4" t="str">
            <v>Kuznetcov</v>
          </cell>
          <cell r="E4" t="str">
            <v>Architect</v>
          </cell>
          <cell r="F4" t="str">
            <v>akuznetcov@altir.co</v>
          </cell>
          <cell r="G4" t="str">
            <v>Male</v>
          </cell>
          <cell r="H4" t="str">
            <v>Full time</v>
          </cell>
          <cell r="I4">
            <v>44692</v>
          </cell>
          <cell r="J4" t="str">
            <v>Europe</v>
          </cell>
          <cell r="K4" t="str">
            <v>Foundation</v>
          </cell>
          <cell r="L4" t="str">
            <v>Sandeep Kumar Thatikonda</v>
          </cell>
          <cell r="M4" t="str">
            <v>sthatikonda@altir.co</v>
          </cell>
          <cell r="N4" t="str">
            <v>Chip1</v>
          </cell>
        </row>
        <row r="5">
          <cell r="A5" t="str">
            <v>AEU002</v>
          </cell>
          <cell r="B5" t="str">
            <v>Darya</v>
          </cell>
          <cell r="C5" t="str">
            <v/>
          </cell>
          <cell r="D5" t="str">
            <v>Kavalenka</v>
          </cell>
          <cell r="E5" t="str">
            <v>Lead Software Engineer</v>
          </cell>
          <cell r="F5" t="str">
            <v>dkavalenka@altir.co</v>
          </cell>
          <cell r="G5" t="str">
            <v>Female</v>
          </cell>
          <cell r="H5" t="str">
            <v>Part time</v>
          </cell>
          <cell r="I5">
            <v>44256</v>
          </cell>
          <cell r="J5" t="str">
            <v>Europe</v>
          </cell>
          <cell r="K5" t="str">
            <v/>
          </cell>
          <cell r="L5" t="str">
            <v>Sandeep Kumar Thatikonda</v>
          </cell>
          <cell r="M5" t="str">
            <v>sthatikonda@altir.co</v>
          </cell>
          <cell r="N5" t="str">
            <v>Chip1</v>
          </cell>
        </row>
        <row r="6">
          <cell r="A6" t="str">
            <v>AEU017</v>
          </cell>
          <cell r="B6" t="str">
            <v>Mikita</v>
          </cell>
          <cell r="C6" t="str">
            <v/>
          </cell>
          <cell r="D6" t="str">
            <v>Monich</v>
          </cell>
          <cell r="E6" t="str">
            <v>Software Engineer</v>
          </cell>
          <cell r="F6" t="str">
            <v>mmonich@altir.co</v>
          </cell>
          <cell r="G6" t="str">
            <v>Male</v>
          </cell>
          <cell r="H6" t="str">
            <v>Part time</v>
          </cell>
          <cell r="I6">
            <v>44621</v>
          </cell>
          <cell r="J6" t="str">
            <v>Europe</v>
          </cell>
          <cell r="K6" t="str">
            <v/>
          </cell>
          <cell r="L6" t="str">
            <v>Sandeep Kumar Thatikonda</v>
          </cell>
          <cell r="M6" t="str">
            <v>sthatikonda@altir.co</v>
          </cell>
          <cell r="N6" t="str">
            <v>Soundful</v>
          </cell>
        </row>
        <row r="7">
          <cell r="A7" t="str">
            <v>AEU026</v>
          </cell>
          <cell r="B7" t="str">
            <v>Nikita</v>
          </cell>
          <cell r="C7" t="str">
            <v/>
          </cell>
          <cell r="D7" t="str">
            <v>Ivanchenko</v>
          </cell>
          <cell r="E7" t="str">
            <v>Lead Backend</v>
          </cell>
          <cell r="F7" t="str">
            <v>nivanchenko@altir.co</v>
          </cell>
          <cell r="G7" t="str">
            <v>Male</v>
          </cell>
          <cell r="H7" t="str">
            <v>Part time</v>
          </cell>
          <cell r="I7">
            <v>44692</v>
          </cell>
          <cell r="J7" t="str">
            <v>Europe</v>
          </cell>
          <cell r="K7" t="str">
            <v/>
          </cell>
          <cell r="L7" t="str">
            <v>Sandeep Kumar Thatikonda</v>
          </cell>
          <cell r="M7" t="str">
            <v>sthatikonda@altir.co</v>
          </cell>
          <cell r="N7" t="str">
            <v>Chip1</v>
          </cell>
        </row>
        <row r="8">
          <cell r="A8" t="str">
            <v>AEU008</v>
          </cell>
          <cell r="B8" t="str">
            <v>Sergei</v>
          </cell>
          <cell r="C8" t="str">
            <v/>
          </cell>
          <cell r="D8" t="str">
            <v>Vareyko</v>
          </cell>
          <cell r="E8" t="str">
            <v>Lead Software Engineer</v>
          </cell>
          <cell r="F8" t="str">
            <v>svareyko@altir.co</v>
          </cell>
          <cell r="G8" t="str">
            <v>Male</v>
          </cell>
          <cell r="H8" t="str">
            <v>Part time</v>
          </cell>
          <cell r="I8">
            <v>44487</v>
          </cell>
          <cell r="J8" t="str">
            <v>Europe</v>
          </cell>
          <cell r="K8" t="str">
            <v/>
          </cell>
          <cell r="L8" t="str">
            <v>Deepti N</v>
          </cell>
          <cell r="M8" t="str">
            <v>dnagboth@altir.co</v>
          </cell>
          <cell r="N8" t="str">
            <v>Foundation</v>
          </cell>
        </row>
        <row r="9">
          <cell r="A9" t="str">
            <v>AEU023</v>
          </cell>
          <cell r="B9" t="str">
            <v>Sergey</v>
          </cell>
          <cell r="C9" t="str">
            <v/>
          </cell>
          <cell r="D9" t="str">
            <v>Us</v>
          </cell>
          <cell r="E9" t="str">
            <v>DevOps Engineer</v>
          </cell>
          <cell r="F9" t="str">
            <v>sus@altir.co</v>
          </cell>
          <cell r="G9" t="str">
            <v>Male</v>
          </cell>
          <cell r="H9" t="str">
            <v>Part time</v>
          </cell>
          <cell r="I9">
            <v>44634</v>
          </cell>
          <cell r="J9" t="str">
            <v>Europe</v>
          </cell>
          <cell r="K9" t="str">
            <v/>
          </cell>
          <cell r="L9" t="str">
            <v>Kandarp Shah</v>
          </cell>
          <cell r="M9" t="str">
            <v>kshah@altir.co</v>
          </cell>
          <cell r="N9" t="str">
            <v>Infra</v>
          </cell>
        </row>
        <row r="10">
          <cell r="A10" t="str">
            <v>AEU028</v>
          </cell>
          <cell r="B10" t="str">
            <v>Serhii</v>
          </cell>
          <cell r="C10" t="str">
            <v/>
          </cell>
          <cell r="D10" t="str">
            <v>Kyslyi</v>
          </cell>
          <cell r="E10" t="str">
            <v>Lead DevOps</v>
          </cell>
          <cell r="F10" t="str">
            <v>skisliy@altir.co</v>
          </cell>
          <cell r="G10" t="str">
            <v>Male</v>
          </cell>
          <cell r="H10" t="str">
            <v>Part time</v>
          </cell>
          <cell r="I10">
            <v>44692</v>
          </cell>
          <cell r="J10" t="str">
            <v>Europe</v>
          </cell>
          <cell r="K10" t="str">
            <v/>
          </cell>
          <cell r="L10" t="str">
            <v>Kandarp Shah</v>
          </cell>
          <cell r="M10" t="str">
            <v>kshah@altir.co</v>
          </cell>
          <cell r="N10" t="str">
            <v>Infra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kalakunta@altir.co" TargetMode="External"/><Relationship Id="rId2" Type="http://schemas.openxmlformats.org/officeDocument/2006/relationships/hyperlink" Target="mailto:tlautawar@altir.co" TargetMode="External"/><Relationship Id="rId1" Type="http://schemas.openxmlformats.org/officeDocument/2006/relationships/hyperlink" Target="mailto:areddy@altir.co" TargetMode="External"/><Relationship Id="rId4" Type="http://schemas.openxmlformats.org/officeDocument/2006/relationships/hyperlink" Target="mailto:pshah@alti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7A16F-C379-493A-A7A1-318008C977DC}">
  <dimension ref="A1:I56"/>
  <sheetViews>
    <sheetView tabSelected="1" topLeftCell="B1" workbookViewId="0">
      <pane ySplit="2" topLeftCell="A3" activePane="bottomLeft" state="frozen"/>
      <selection pane="bottomLeft" activeCell="C51" sqref="C51:C56"/>
    </sheetView>
  </sheetViews>
  <sheetFormatPr defaultRowHeight="14.5" x14ac:dyDescent="0.35"/>
  <cols>
    <col min="1" max="1" width="5.90625" customWidth="1"/>
    <col min="2" max="2" width="7.81640625" bestFit="1" customWidth="1"/>
    <col min="3" max="3" width="23.36328125" customWidth="1"/>
    <col min="4" max="4" width="32.36328125" bestFit="1" customWidth="1"/>
    <col min="5" max="5" width="22.90625" bestFit="1" customWidth="1"/>
    <col min="6" max="6" width="20.1796875" bestFit="1" customWidth="1"/>
    <col min="7" max="7" width="17.6328125" bestFit="1" customWidth="1"/>
    <col min="8" max="8" width="20.7265625" bestFit="1" customWidth="1"/>
    <col min="9" max="9" width="19.453125" bestFit="1" customWidth="1"/>
  </cols>
  <sheetData>
    <row r="1" spans="1:8" ht="20" x14ac:dyDescent="0.4">
      <c r="A1" s="16" t="s">
        <v>134</v>
      </c>
      <c r="B1" s="16"/>
      <c r="C1" s="16"/>
      <c r="D1" s="16"/>
      <c r="E1" s="16"/>
      <c r="F1" s="16"/>
      <c r="G1" s="17"/>
    </row>
    <row r="2" spans="1:8" ht="24" x14ac:dyDescent="0.3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136</v>
      </c>
    </row>
    <row r="3" spans="1:8" x14ac:dyDescent="0.35">
      <c r="A3" s="5"/>
      <c r="B3" s="6"/>
      <c r="C3" s="6"/>
      <c r="D3" s="6"/>
      <c r="E3" s="6"/>
      <c r="F3" s="6"/>
      <c r="G3" s="6"/>
      <c r="H3" s="18"/>
    </row>
    <row r="4" spans="1:8" ht="18" customHeight="1" x14ac:dyDescent="0.35">
      <c r="A4" s="7">
        <v>1</v>
      </c>
      <c r="B4" s="8" t="s">
        <v>7</v>
      </c>
      <c r="C4" s="9" t="s">
        <v>8</v>
      </c>
      <c r="D4" s="9" t="s">
        <v>9</v>
      </c>
      <c r="E4" s="9" t="s">
        <v>10</v>
      </c>
      <c r="F4" s="9" t="s">
        <v>11</v>
      </c>
      <c r="G4" s="9"/>
      <c r="H4" s="18" t="str">
        <f>VLOOKUP(B4,[1]Sheet1!$A$2:$F$40,6,0)</f>
        <v>asharma@altir.co</v>
      </c>
    </row>
    <row r="5" spans="1:8" ht="18" customHeight="1" x14ac:dyDescent="0.35">
      <c r="A5" s="7">
        <v>2</v>
      </c>
      <c r="B5" s="8" t="s">
        <v>12</v>
      </c>
      <c r="C5" s="9" t="s">
        <v>13</v>
      </c>
      <c r="D5" s="9" t="s">
        <v>14</v>
      </c>
      <c r="E5" s="9" t="s">
        <v>15</v>
      </c>
      <c r="F5" s="9" t="s">
        <v>16</v>
      </c>
      <c r="G5" s="9"/>
      <c r="H5" s="18" t="str">
        <f>VLOOKUP(B5,[1]Sheet1!$A$2:$F$40,6,0)</f>
        <v>achopra@altir.co</v>
      </c>
    </row>
    <row r="6" spans="1:8" ht="18" customHeight="1" x14ac:dyDescent="0.35">
      <c r="A6" s="7">
        <v>3</v>
      </c>
      <c r="B6" s="8" t="s">
        <v>17</v>
      </c>
      <c r="C6" s="10" t="s">
        <v>18</v>
      </c>
      <c r="D6" s="9" t="s">
        <v>19</v>
      </c>
      <c r="E6" s="9" t="s">
        <v>20</v>
      </c>
      <c r="F6" s="9" t="s">
        <v>21</v>
      </c>
      <c r="G6" s="9"/>
      <c r="H6" s="18" t="str">
        <f>VLOOKUP(B6,[1]Sheet1!$A$2:$F$40,6,0)</f>
        <v>anjan@altir.co</v>
      </c>
    </row>
    <row r="7" spans="1:8" ht="18" customHeight="1" x14ac:dyDescent="0.35">
      <c r="A7" s="7">
        <v>4</v>
      </c>
      <c r="B7" s="8" t="s">
        <v>22</v>
      </c>
      <c r="C7" s="10" t="s">
        <v>23</v>
      </c>
      <c r="D7" s="9" t="s">
        <v>24</v>
      </c>
      <c r="E7" s="9" t="s">
        <v>25</v>
      </c>
      <c r="F7" s="9" t="s">
        <v>26</v>
      </c>
      <c r="G7" s="9"/>
      <c r="H7" s="18" t="str">
        <f>VLOOKUP(B7,[1]Sheet1!$A$2:$F$40,6,0)</f>
        <v>aali@altir.co</v>
      </c>
    </row>
    <row r="8" spans="1:8" ht="18" customHeight="1" x14ac:dyDescent="0.35">
      <c r="A8" s="7">
        <v>5</v>
      </c>
      <c r="B8" s="8" t="s">
        <v>27</v>
      </c>
      <c r="C8" s="10" t="s">
        <v>25</v>
      </c>
      <c r="D8" s="9" t="s">
        <v>28</v>
      </c>
      <c r="E8" s="9" t="s">
        <v>29</v>
      </c>
      <c r="F8" s="9" t="s">
        <v>26</v>
      </c>
      <c r="G8" s="9"/>
      <c r="H8" s="18" t="str">
        <f>VLOOKUP(B8,[1]Sheet1!$A$2:$F$40,6,0)</f>
        <v>asarraf@altir.co</v>
      </c>
    </row>
    <row r="9" spans="1:8" ht="18" customHeight="1" x14ac:dyDescent="0.35">
      <c r="A9" s="7">
        <v>6</v>
      </c>
      <c r="B9" s="8" t="s">
        <v>30</v>
      </c>
      <c r="C9" s="10" t="s">
        <v>31</v>
      </c>
      <c r="D9" s="9" t="s">
        <v>32</v>
      </c>
      <c r="E9" s="9" t="s">
        <v>33</v>
      </c>
      <c r="F9" s="9" t="s">
        <v>34</v>
      </c>
      <c r="G9" s="9"/>
      <c r="H9" s="18" t="str">
        <f>VLOOKUP(B9,[1]Sheet1!$A$2:$F$40,6,0)</f>
        <v>bchauhan@altir.co</v>
      </c>
    </row>
    <row r="10" spans="1:8" ht="18" customHeight="1" x14ac:dyDescent="0.35">
      <c r="A10" s="7">
        <v>7</v>
      </c>
      <c r="B10" s="8" t="s">
        <v>35</v>
      </c>
      <c r="C10" s="9" t="s">
        <v>36</v>
      </c>
      <c r="D10" s="9" t="s">
        <v>37</v>
      </c>
      <c r="E10" s="9" t="s">
        <v>29</v>
      </c>
      <c r="F10" s="9" t="s">
        <v>38</v>
      </c>
      <c r="G10" s="9"/>
      <c r="H10" s="18" t="str">
        <f>VLOOKUP(B10,[1]Sheet1!$A$2:$F$40,6,0)</f>
        <v>dnagboth@altir.co</v>
      </c>
    </row>
    <row r="11" spans="1:8" ht="18" customHeight="1" x14ac:dyDescent="0.35">
      <c r="A11" s="7">
        <v>8</v>
      </c>
      <c r="B11" s="8" t="s">
        <v>39</v>
      </c>
      <c r="C11" s="9" t="s">
        <v>40</v>
      </c>
      <c r="D11" s="9" t="s">
        <v>41</v>
      </c>
      <c r="E11" s="9" t="s">
        <v>42</v>
      </c>
      <c r="F11" s="9" t="s">
        <v>11</v>
      </c>
      <c r="G11" s="9"/>
      <c r="H11" s="18" t="str">
        <f>VLOOKUP(B11,[1]Sheet1!$A$2:$F$40,6,0)</f>
        <v>dvaidyula@altir.co</v>
      </c>
    </row>
    <row r="12" spans="1:8" ht="18" customHeight="1" x14ac:dyDescent="0.35">
      <c r="A12" s="7">
        <v>9</v>
      </c>
      <c r="B12" s="8" t="s">
        <v>43</v>
      </c>
      <c r="C12" s="9" t="s">
        <v>44</v>
      </c>
      <c r="D12" s="9" t="s">
        <v>24</v>
      </c>
      <c r="E12" s="9" t="s">
        <v>10</v>
      </c>
      <c r="F12" s="9" t="s">
        <v>11</v>
      </c>
      <c r="G12" s="9"/>
      <c r="H12" s="18" t="str">
        <f>VLOOKUP(B12,[1]Sheet1!$A$2:$F$40,6,0)</f>
        <v>sgundimi@altir.co</v>
      </c>
    </row>
    <row r="13" spans="1:8" ht="18" customHeight="1" x14ac:dyDescent="0.35">
      <c r="A13" s="7">
        <v>10</v>
      </c>
      <c r="B13" s="8" t="s">
        <v>45</v>
      </c>
      <c r="C13" s="10" t="s">
        <v>46</v>
      </c>
      <c r="D13" s="9" t="s">
        <v>24</v>
      </c>
      <c r="E13" s="9" t="s">
        <v>10</v>
      </c>
      <c r="F13" s="9" t="s">
        <v>11</v>
      </c>
      <c r="G13" s="9"/>
      <c r="H13" s="18" t="str">
        <f>VLOOKUP(B13,[1]Sheet1!$A$2:$F$40,6,0)</f>
        <v>shabib@altir.co</v>
      </c>
    </row>
    <row r="14" spans="1:8" ht="18" customHeight="1" x14ac:dyDescent="0.35">
      <c r="A14" s="7">
        <v>11</v>
      </c>
      <c r="B14" s="8" t="s">
        <v>47</v>
      </c>
      <c r="C14" s="9" t="s">
        <v>48</v>
      </c>
      <c r="D14" s="9" t="s">
        <v>49</v>
      </c>
      <c r="E14" s="9" t="s">
        <v>25</v>
      </c>
      <c r="F14" s="9" t="s">
        <v>26</v>
      </c>
      <c r="G14" s="9" t="s">
        <v>50</v>
      </c>
      <c r="H14" s="18" t="str">
        <f>VLOOKUP(B14,[1]Sheet1!$A$2:$F$40,6,0)</f>
        <v>hbolla@altir.co</v>
      </c>
    </row>
    <row r="15" spans="1:8" ht="18" customHeight="1" x14ac:dyDescent="0.35">
      <c r="A15" s="7">
        <v>12</v>
      </c>
      <c r="B15" s="8" t="s">
        <v>51</v>
      </c>
      <c r="C15" s="9" t="s">
        <v>52</v>
      </c>
      <c r="D15" s="9" t="s">
        <v>53</v>
      </c>
      <c r="E15" s="9" t="s">
        <v>33</v>
      </c>
      <c r="F15" s="9" t="s">
        <v>34</v>
      </c>
      <c r="G15" s="9"/>
      <c r="H15" s="18" t="str">
        <f>VLOOKUP(B15,[1]Sheet1!$A$2:$F$40,6,0)</f>
        <v>herrampally@altir.co</v>
      </c>
    </row>
    <row r="16" spans="1:8" ht="18" customHeight="1" x14ac:dyDescent="0.35">
      <c r="A16" s="7">
        <v>13</v>
      </c>
      <c r="B16" s="8" t="s">
        <v>54</v>
      </c>
      <c r="C16" s="10" t="s">
        <v>29</v>
      </c>
      <c r="D16" s="9" t="s">
        <v>55</v>
      </c>
      <c r="E16" s="9" t="s">
        <v>20</v>
      </c>
      <c r="F16" s="9" t="s">
        <v>56</v>
      </c>
      <c r="G16" s="9"/>
      <c r="H16" s="18" t="str">
        <f>VLOOKUP(B16,[1]Sheet1!$A$2:$F$40,6,0)</f>
        <v>himanshu@altir.co</v>
      </c>
    </row>
    <row r="17" spans="1:8" ht="18" customHeight="1" x14ac:dyDescent="0.35">
      <c r="A17" s="7">
        <v>14</v>
      </c>
      <c r="B17" s="8" t="s">
        <v>57</v>
      </c>
      <c r="C17" s="9" t="s">
        <v>58</v>
      </c>
      <c r="D17" s="9" t="s">
        <v>59</v>
      </c>
      <c r="E17" s="9" t="s">
        <v>13</v>
      </c>
      <c r="F17" s="9" t="s">
        <v>16</v>
      </c>
      <c r="G17" s="9"/>
      <c r="H17" s="18" t="str">
        <f>VLOOKUP(B17,[1]Sheet1!$A$2:$F$40,6,0)</f>
        <v>imohammad@altir.co</v>
      </c>
    </row>
    <row r="18" spans="1:8" ht="18" customHeight="1" x14ac:dyDescent="0.35">
      <c r="A18" s="7">
        <v>15</v>
      </c>
      <c r="B18" s="8" t="s">
        <v>60</v>
      </c>
      <c r="C18" s="9" t="s">
        <v>61</v>
      </c>
      <c r="D18" s="9" t="s">
        <v>62</v>
      </c>
      <c r="E18" s="9" t="s">
        <v>48</v>
      </c>
      <c r="F18" s="9" t="s">
        <v>26</v>
      </c>
      <c r="G18" s="9"/>
      <c r="H18" s="18" t="str">
        <f>VLOOKUP(B18,[1]Sheet1!$A$2:$F$40,6,0)</f>
        <v>mkalagi@altir.co</v>
      </c>
    </row>
    <row r="19" spans="1:8" ht="18" customHeight="1" x14ac:dyDescent="0.35">
      <c r="A19" s="7">
        <v>16</v>
      </c>
      <c r="B19" s="8" t="s">
        <v>63</v>
      </c>
      <c r="C19" s="11" t="s">
        <v>64</v>
      </c>
      <c r="D19" s="9" t="s">
        <v>65</v>
      </c>
      <c r="E19" s="9" t="s">
        <v>66</v>
      </c>
      <c r="F19" s="9" t="s">
        <v>67</v>
      </c>
      <c r="G19" s="9"/>
      <c r="H19" s="18" t="str">
        <f>VLOOKUP(B19,[1]Sheet1!$A$2:$F$40,6,0)</f>
        <v>nguddati@altir.co</v>
      </c>
    </row>
    <row r="20" spans="1:8" ht="18" customHeight="1" x14ac:dyDescent="0.35">
      <c r="A20" s="7">
        <v>17</v>
      </c>
      <c r="B20" s="8" t="s">
        <v>68</v>
      </c>
      <c r="C20" s="10" t="s">
        <v>69</v>
      </c>
      <c r="D20" s="9" t="s">
        <v>70</v>
      </c>
      <c r="E20" s="9" t="s">
        <v>10</v>
      </c>
      <c r="F20" s="9" t="s">
        <v>11</v>
      </c>
      <c r="G20" s="9"/>
      <c r="H20" s="18" t="str">
        <f>VLOOKUP(B20,[1]Sheet1!$A$2:$F$40,6,0)</f>
        <v>osreenivasan@altir.co</v>
      </c>
    </row>
    <row r="21" spans="1:8" ht="18" customHeight="1" x14ac:dyDescent="0.35">
      <c r="A21" s="7">
        <v>18</v>
      </c>
      <c r="B21" s="8" t="s">
        <v>71</v>
      </c>
      <c r="C21" s="9" t="s">
        <v>72</v>
      </c>
      <c r="D21" s="9" t="s">
        <v>70</v>
      </c>
      <c r="E21" s="9" t="s">
        <v>10</v>
      </c>
      <c r="F21" s="9" t="s">
        <v>11</v>
      </c>
      <c r="G21" s="9"/>
      <c r="H21" s="18" t="str">
        <f>VLOOKUP(B21,[1]Sheet1!$A$2:$F$40,6,0)</f>
        <v>pyedidi@altir.co</v>
      </c>
    </row>
    <row r="22" spans="1:8" ht="18" customHeight="1" x14ac:dyDescent="0.35">
      <c r="A22" s="7">
        <v>19</v>
      </c>
      <c r="B22" s="8" t="s">
        <v>73</v>
      </c>
      <c r="C22" s="9" t="s">
        <v>74</v>
      </c>
      <c r="D22" s="9" t="s">
        <v>75</v>
      </c>
      <c r="E22" s="9" t="s">
        <v>10</v>
      </c>
      <c r="F22" s="9" t="s">
        <v>11</v>
      </c>
      <c r="G22" s="9"/>
      <c r="H22" s="18" t="str">
        <f>VLOOKUP(B22,[1]Sheet1!$A$2:$F$40,6,0)</f>
        <v>pdutta@altir.co</v>
      </c>
    </row>
    <row r="23" spans="1:8" ht="18" customHeight="1" x14ac:dyDescent="0.35">
      <c r="A23" s="7">
        <v>20</v>
      </c>
      <c r="B23" s="8" t="s">
        <v>76</v>
      </c>
      <c r="C23" s="9" t="s">
        <v>77</v>
      </c>
      <c r="D23" s="9" t="s">
        <v>24</v>
      </c>
      <c r="E23" s="9" t="s">
        <v>25</v>
      </c>
      <c r="F23" s="9" t="s">
        <v>50</v>
      </c>
      <c r="G23" s="9" t="s">
        <v>26</v>
      </c>
      <c r="H23" s="18" t="str">
        <f>VLOOKUP(B23,[1]Sheet1!$A$2:$F$40,6,0)</f>
        <v>pkota@altir.co</v>
      </c>
    </row>
    <row r="24" spans="1:8" ht="18" customHeight="1" x14ac:dyDescent="0.35">
      <c r="A24" s="7">
        <v>21</v>
      </c>
      <c r="B24" s="8" t="s">
        <v>78</v>
      </c>
      <c r="C24" s="9" t="s">
        <v>79</v>
      </c>
      <c r="D24" s="9" t="s">
        <v>80</v>
      </c>
      <c r="E24" s="9" t="s">
        <v>42</v>
      </c>
      <c r="F24" s="9" t="s">
        <v>135</v>
      </c>
      <c r="G24" s="9" t="s">
        <v>26</v>
      </c>
      <c r="H24" s="18" t="str">
        <f>VLOOKUP(B24,[1]Sheet1!$A$2:$F$40,6,0)</f>
        <v>smuppa@altir.co</v>
      </c>
    </row>
    <row r="25" spans="1:8" ht="18" customHeight="1" x14ac:dyDescent="0.35">
      <c r="A25" s="7">
        <v>22</v>
      </c>
      <c r="B25" s="8" t="s">
        <v>81</v>
      </c>
      <c r="C25" s="9" t="s">
        <v>10</v>
      </c>
      <c r="D25" s="9" t="s">
        <v>28</v>
      </c>
      <c r="E25" s="9" t="s">
        <v>29</v>
      </c>
      <c r="F25" s="9" t="s">
        <v>11</v>
      </c>
      <c r="G25" s="9" t="s">
        <v>82</v>
      </c>
      <c r="H25" s="18" t="str">
        <f>VLOOKUP(B25,[1]Sheet1!$A$2:$F$40,6,0)</f>
        <v>sthatikonda@altir.co</v>
      </c>
    </row>
    <row r="26" spans="1:8" ht="18" customHeight="1" x14ac:dyDescent="0.35">
      <c r="A26" s="7">
        <v>23</v>
      </c>
      <c r="B26" s="8" t="s">
        <v>83</v>
      </c>
      <c r="C26" s="9" t="s">
        <v>84</v>
      </c>
      <c r="D26" s="9" t="s">
        <v>85</v>
      </c>
      <c r="E26" s="9" t="s">
        <v>86</v>
      </c>
      <c r="F26" s="9" t="s">
        <v>67</v>
      </c>
      <c r="G26" s="9"/>
      <c r="H26" s="18" t="str">
        <f>VLOOKUP(B26,[1]Sheet1!$A$2:$F$40,6,0)</f>
        <v>sbathini@altir.co</v>
      </c>
    </row>
    <row r="27" spans="1:8" ht="18" customHeight="1" x14ac:dyDescent="0.35">
      <c r="A27" s="7">
        <v>24</v>
      </c>
      <c r="B27" s="8" t="s">
        <v>87</v>
      </c>
      <c r="C27" s="9" t="s">
        <v>88</v>
      </c>
      <c r="D27" s="9" t="s">
        <v>24</v>
      </c>
      <c r="E27" s="9" t="s">
        <v>10</v>
      </c>
      <c r="F27" s="9" t="s">
        <v>11</v>
      </c>
      <c r="G27" s="9"/>
      <c r="H27" s="18" t="str">
        <f>VLOOKUP(B27,[1]Sheet1!$A$2:$F$40,6,0)</f>
        <v>shivananda.sai@altir.co</v>
      </c>
    </row>
    <row r="28" spans="1:8" ht="18" customHeight="1" x14ac:dyDescent="0.35">
      <c r="A28" s="7">
        <v>25</v>
      </c>
      <c r="B28" s="8" t="s">
        <v>89</v>
      </c>
      <c r="C28" s="9" t="s">
        <v>90</v>
      </c>
      <c r="D28" s="9" t="s">
        <v>24</v>
      </c>
      <c r="E28" s="9" t="s">
        <v>10</v>
      </c>
      <c r="F28" s="9" t="s">
        <v>11</v>
      </c>
      <c r="G28" s="9"/>
      <c r="H28" s="18" t="str">
        <f>VLOOKUP(B28,[1]Sheet1!$A$2:$F$40,6,0)</f>
        <v>tallagadda@altir.co</v>
      </c>
    </row>
    <row r="29" spans="1:8" ht="18" customHeight="1" x14ac:dyDescent="0.35">
      <c r="A29" s="7">
        <v>26</v>
      </c>
      <c r="B29" s="8" t="s">
        <v>91</v>
      </c>
      <c r="C29" s="9" t="s">
        <v>92</v>
      </c>
      <c r="D29" s="9" t="s">
        <v>93</v>
      </c>
      <c r="E29" s="9" t="s">
        <v>13</v>
      </c>
      <c r="F29" s="9" t="s">
        <v>16</v>
      </c>
      <c r="G29" s="9"/>
      <c r="H29" s="18" t="str">
        <f>VLOOKUP(B29,[1]Sheet1!$A$2:$F$40,6,0)</f>
        <v>tgopalakrishna@altir.co</v>
      </c>
    </row>
    <row r="30" spans="1:8" ht="18" customHeight="1" x14ac:dyDescent="0.35">
      <c r="A30" s="7">
        <v>27</v>
      </c>
      <c r="B30" s="8" t="s">
        <v>94</v>
      </c>
      <c r="C30" s="9" t="s">
        <v>95</v>
      </c>
      <c r="D30" s="9" t="s">
        <v>96</v>
      </c>
      <c r="E30" s="9" t="s">
        <v>42</v>
      </c>
      <c r="F30" s="9" t="s">
        <v>135</v>
      </c>
      <c r="G30" s="9"/>
      <c r="H30" s="18" t="str">
        <f>VLOOKUP(B30,[1]Sheet1!$A$2:$F$40,6,0)</f>
        <v>umutyala@altir.co</v>
      </c>
    </row>
    <row r="31" spans="1:8" ht="18" customHeight="1" x14ac:dyDescent="0.35">
      <c r="A31" s="7">
        <v>28</v>
      </c>
      <c r="B31" s="8" t="s">
        <v>97</v>
      </c>
      <c r="C31" s="9" t="s">
        <v>98</v>
      </c>
      <c r="D31" s="9" t="s">
        <v>24</v>
      </c>
      <c r="E31" s="9" t="s">
        <v>25</v>
      </c>
      <c r="F31" s="9" t="s">
        <v>26</v>
      </c>
      <c r="G31" s="9" t="s">
        <v>50</v>
      </c>
      <c r="H31" s="18" t="str">
        <f>VLOOKUP(B31,[1]Sheet1!$A$2:$F$40,6,0)</f>
        <v>vsachdev@altir.co</v>
      </c>
    </row>
    <row r="32" spans="1:8" ht="18" customHeight="1" x14ac:dyDescent="0.35">
      <c r="A32" s="7">
        <v>29</v>
      </c>
      <c r="B32" s="8" t="s">
        <v>99</v>
      </c>
      <c r="C32" s="9" t="s">
        <v>100</v>
      </c>
      <c r="D32" s="9" t="s">
        <v>24</v>
      </c>
      <c r="E32" s="9" t="s">
        <v>25</v>
      </c>
      <c r="F32" s="9" t="s">
        <v>50</v>
      </c>
      <c r="G32" s="9" t="s">
        <v>26</v>
      </c>
      <c r="H32" s="18" t="str">
        <f>VLOOKUP(B32,[1]Sheet1!$A$2:$F$40,6,0)</f>
        <v>vkukade@altir.co</v>
      </c>
    </row>
    <row r="33" spans="1:8" ht="18" customHeight="1" x14ac:dyDescent="0.35">
      <c r="A33" s="7">
        <v>30</v>
      </c>
      <c r="B33" s="8" t="s">
        <v>101</v>
      </c>
      <c r="C33" s="9" t="s">
        <v>33</v>
      </c>
      <c r="D33" s="9" t="s">
        <v>102</v>
      </c>
      <c r="E33" s="9" t="s">
        <v>20</v>
      </c>
      <c r="F33" s="9" t="s">
        <v>34</v>
      </c>
      <c r="G33" s="9"/>
      <c r="H33" s="18" t="str">
        <f>VLOOKUP(B33,[1]Sheet1!$A$2:$F$40,6,0)</f>
        <v>vadwant@altir.co</v>
      </c>
    </row>
    <row r="34" spans="1:8" ht="18" customHeight="1" x14ac:dyDescent="0.35">
      <c r="A34" s="7">
        <v>31</v>
      </c>
      <c r="B34" s="8" t="s">
        <v>103</v>
      </c>
      <c r="C34" s="9" t="s">
        <v>104</v>
      </c>
      <c r="D34" s="9" t="s">
        <v>70</v>
      </c>
      <c r="E34" s="9" t="s">
        <v>25</v>
      </c>
      <c r="F34" s="9" t="s">
        <v>50</v>
      </c>
      <c r="G34" s="9" t="s">
        <v>105</v>
      </c>
      <c r="H34" s="18" t="str">
        <f>VLOOKUP(B34,[1]Sheet1!$A$2:$F$40,6,0)</f>
        <v>vkodakandla@altir.co</v>
      </c>
    </row>
    <row r="35" spans="1:8" ht="18" customHeight="1" x14ac:dyDescent="0.35">
      <c r="A35" s="7">
        <v>32</v>
      </c>
      <c r="B35" s="8" t="s">
        <v>106</v>
      </c>
      <c r="C35" s="9" t="s">
        <v>107</v>
      </c>
      <c r="D35" s="9" t="s">
        <v>24</v>
      </c>
      <c r="E35" s="9" t="s">
        <v>10</v>
      </c>
      <c r="F35" s="9" t="s">
        <v>11</v>
      </c>
      <c r="G35" s="9"/>
      <c r="H35" s="18" t="str">
        <f>VLOOKUP(B35,[1]Sheet1!$A$2:$F$40,6,0)</f>
        <v>vbajjuri@altir.co</v>
      </c>
    </row>
    <row r="36" spans="1:8" ht="18" customHeight="1" x14ac:dyDescent="0.35">
      <c r="A36" s="7">
        <v>33</v>
      </c>
      <c r="B36" s="12" t="s">
        <v>108</v>
      </c>
      <c r="C36" s="9" t="s">
        <v>109</v>
      </c>
      <c r="D36" s="9" t="s">
        <v>62</v>
      </c>
      <c r="E36" s="9" t="s">
        <v>10</v>
      </c>
      <c r="F36" s="9" t="s">
        <v>11</v>
      </c>
      <c r="G36" s="9"/>
      <c r="H36" s="18" t="str">
        <f>VLOOKUP(B36,[1]Sheet1!$A$2:$F$40,6,0)</f>
        <v>hguntamukkala@altir.co</v>
      </c>
    </row>
    <row r="37" spans="1:8" ht="18" customHeight="1" x14ac:dyDescent="0.35">
      <c r="A37" s="7">
        <v>34</v>
      </c>
      <c r="B37" s="8" t="s">
        <v>110</v>
      </c>
      <c r="C37" s="9" t="s">
        <v>111</v>
      </c>
      <c r="D37" s="9" t="s">
        <v>24</v>
      </c>
      <c r="E37" s="9" t="s">
        <v>10</v>
      </c>
      <c r="F37" s="9" t="s">
        <v>11</v>
      </c>
      <c r="G37" s="9"/>
      <c r="H37" s="18" t="str">
        <f>VLOOKUP(B37,[1]Sheet1!$A$2:$F$40,6,0)</f>
        <v>adhakar@altir.co</v>
      </c>
    </row>
    <row r="38" spans="1:8" ht="18" customHeight="1" x14ac:dyDescent="0.35">
      <c r="A38" s="7">
        <v>35</v>
      </c>
      <c r="B38" s="12" t="s">
        <v>112</v>
      </c>
      <c r="C38" s="13" t="s">
        <v>113</v>
      </c>
      <c r="D38" s="9" t="s">
        <v>24</v>
      </c>
      <c r="E38" s="9" t="s">
        <v>10</v>
      </c>
      <c r="F38" s="9" t="s">
        <v>11</v>
      </c>
      <c r="G38" s="9"/>
      <c r="H38" s="18" t="str">
        <f>VLOOKUP(B38,[1]Sheet1!$A$2:$F$40,6,0)</f>
        <v>kpanchal@altir.co</v>
      </c>
    </row>
    <row r="39" spans="1:8" ht="18" customHeight="1" x14ac:dyDescent="0.35">
      <c r="A39" s="7">
        <v>36</v>
      </c>
      <c r="B39" s="8" t="s">
        <v>114</v>
      </c>
      <c r="C39" s="11" t="s">
        <v>115</v>
      </c>
      <c r="D39" s="9" t="s">
        <v>116</v>
      </c>
      <c r="E39" s="9" t="s">
        <v>10</v>
      </c>
      <c r="F39" s="9" t="s">
        <v>11</v>
      </c>
      <c r="G39" s="9"/>
      <c r="H39" s="18" t="str">
        <f>VLOOKUP(B39,[1]Sheet1!$A$2:$F$40,6,0)</f>
        <v>nkumar@altir.co</v>
      </c>
    </row>
    <row r="40" spans="1:8" ht="18" customHeight="1" x14ac:dyDescent="0.35">
      <c r="A40" s="7">
        <v>37</v>
      </c>
      <c r="B40" s="8" t="s">
        <v>117</v>
      </c>
      <c r="C40" s="14" t="s">
        <v>118</v>
      </c>
      <c r="D40" s="9" t="s">
        <v>24</v>
      </c>
      <c r="E40" s="9" t="s">
        <v>10</v>
      </c>
      <c r="F40" s="9" t="s">
        <v>11</v>
      </c>
      <c r="G40" s="9"/>
      <c r="H40" s="18" t="str">
        <f>VLOOKUP(B40,[1]Sheet1!$A$2:$F$40,6,0)</f>
        <v>ajain@altir.co</v>
      </c>
    </row>
    <row r="41" spans="1:8" ht="18" customHeight="1" x14ac:dyDescent="0.35">
      <c r="A41" s="7">
        <v>38</v>
      </c>
      <c r="B41" s="8" t="s">
        <v>119</v>
      </c>
      <c r="C41" s="14" t="s">
        <v>120</v>
      </c>
      <c r="D41" s="9" t="s">
        <v>121</v>
      </c>
      <c r="E41" s="9" t="s">
        <v>20</v>
      </c>
      <c r="F41" s="9"/>
      <c r="G41" s="9"/>
      <c r="H41" s="18" t="str">
        <f>VLOOKUP(B41,[1]Sheet1!$A$2:$F$40,6,0)</f>
        <v>akhil@altir.co</v>
      </c>
    </row>
    <row r="42" spans="1:8" ht="18" customHeight="1" x14ac:dyDescent="0.35">
      <c r="A42" s="7">
        <v>39</v>
      </c>
      <c r="B42" s="8" t="s">
        <v>122</v>
      </c>
      <c r="C42" s="15" t="s">
        <v>123</v>
      </c>
      <c r="D42" s="9" t="s">
        <v>70</v>
      </c>
      <c r="E42" s="9" t="s">
        <v>10</v>
      </c>
      <c r="F42" s="9" t="s">
        <v>11</v>
      </c>
      <c r="G42" s="9"/>
      <c r="H42" s="18" t="str">
        <f>VLOOKUP(B42,[1]Sheet1!$A$2:$F$40,6,0)</f>
        <v>dmajhi@altir.co</v>
      </c>
    </row>
    <row r="43" spans="1:8" ht="18" customHeight="1" x14ac:dyDescent="0.35">
      <c r="A43" s="7">
        <v>40</v>
      </c>
      <c r="B43" s="12" t="s">
        <v>124</v>
      </c>
      <c r="C43" s="15" t="s">
        <v>125</v>
      </c>
      <c r="D43" s="9" t="s">
        <v>126</v>
      </c>
      <c r="E43" s="9" t="s">
        <v>25</v>
      </c>
      <c r="F43" s="9" t="s">
        <v>50</v>
      </c>
      <c r="G43" s="9" t="s">
        <v>26</v>
      </c>
      <c r="H43" s="19" t="s">
        <v>137</v>
      </c>
    </row>
    <row r="44" spans="1:8" ht="18" customHeight="1" x14ac:dyDescent="0.35">
      <c r="A44" s="7">
        <v>41</v>
      </c>
      <c r="B44" s="8" t="s">
        <v>127</v>
      </c>
      <c r="C44" s="15" t="s">
        <v>128</v>
      </c>
      <c r="D44" s="9" t="s">
        <v>126</v>
      </c>
      <c r="E44" s="9" t="s">
        <v>25</v>
      </c>
      <c r="F44" s="9" t="s">
        <v>50</v>
      </c>
      <c r="G44" s="9" t="s">
        <v>26</v>
      </c>
      <c r="H44" s="19" t="s">
        <v>138</v>
      </c>
    </row>
    <row r="45" spans="1:8" ht="18" customHeight="1" x14ac:dyDescent="0.35">
      <c r="A45" s="7">
        <v>42</v>
      </c>
      <c r="B45" s="8" t="s">
        <v>129</v>
      </c>
      <c r="C45" s="15" t="s">
        <v>130</v>
      </c>
      <c r="D45" s="9" t="s">
        <v>126</v>
      </c>
      <c r="E45" s="9" t="s">
        <v>13</v>
      </c>
      <c r="F45" s="9" t="s">
        <v>26</v>
      </c>
      <c r="G45" s="9" t="s">
        <v>50</v>
      </c>
      <c r="H45" s="19" t="s">
        <v>139</v>
      </c>
    </row>
    <row r="46" spans="1:8" ht="18" customHeight="1" x14ac:dyDescent="0.35">
      <c r="A46" s="7">
        <v>43</v>
      </c>
      <c r="B46" s="8" t="s">
        <v>131</v>
      </c>
      <c r="C46" s="15" t="s">
        <v>132</v>
      </c>
      <c r="D46" s="9" t="s">
        <v>126</v>
      </c>
      <c r="E46" s="9" t="s">
        <v>120</v>
      </c>
      <c r="F46" s="9" t="s">
        <v>133</v>
      </c>
      <c r="G46" s="9"/>
      <c r="H46" s="19" t="s">
        <v>140</v>
      </c>
    </row>
    <row r="47" spans="1:8" x14ac:dyDescent="0.35">
      <c r="A47" s="2"/>
      <c r="B47" s="2"/>
      <c r="C47" s="1"/>
      <c r="D47" s="1"/>
      <c r="E47" s="1"/>
      <c r="F47" s="1"/>
      <c r="G47" s="1"/>
    </row>
    <row r="48" spans="1:8" x14ac:dyDescent="0.35">
      <c r="C48" s="24" t="s">
        <v>141</v>
      </c>
    </row>
    <row r="49" spans="1:9" ht="24" x14ac:dyDescent="0.35">
      <c r="A49" s="3" t="s">
        <v>0</v>
      </c>
      <c r="B49" s="4" t="s">
        <v>1</v>
      </c>
      <c r="C49" s="4" t="s">
        <v>2</v>
      </c>
      <c r="D49" s="4" t="s">
        <v>3</v>
      </c>
      <c r="E49" s="4" t="s">
        <v>4</v>
      </c>
      <c r="F49" s="4" t="s">
        <v>5</v>
      </c>
      <c r="G49" s="4" t="s">
        <v>6</v>
      </c>
      <c r="H49" s="4" t="s">
        <v>136</v>
      </c>
      <c r="I49" s="20" t="s">
        <v>142</v>
      </c>
    </row>
    <row r="50" spans="1:9" x14ac:dyDescent="0.35">
      <c r="A50" s="21"/>
      <c r="B50" s="21"/>
      <c r="C50" s="21"/>
      <c r="D50" s="18"/>
      <c r="E50" s="18"/>
      <c r="F50" s="18"/>
      <c r="G50" s="18"/>
      <c r="H50" s="18"/>
      <c r="I50" s="21" t="s">
        <v>143</v>
      </c>
    </row>
    <row r="51" spans="1:9" ht="29" x14ac:dyDescent="0.35">
      <c r="A51" s="22">
        <v>1</v>
      </c>
      <c r="B51" s="23" t="s">
        <v>144</v>
      </c>
      <c r="C51" s="25" t="s">
        <v>145</v>
      </c>
      <c r="D51" s="18" t="str">
        <f>VLOOKUP(B51,[2]Sheet1!$A$2:$E$10,5,0)</f>
        <v>Lead UI</v>
      </c>
      <c r="E51" s="18" t="str">
        <f>VLOOKUP(B51,[2]Sheet1!$A$2:$L$10,12,0)</f>
        <v>Sandeep Kumar Thatikonda</v>
      </c>
      <c r="F51" s="18" t="str">
        <f>VLOOKUP(B51,[2]Sheet1!$A$2:$N$10,14,0)</f>
        <v>Chip1</v>
      </c>
      <c r="G51" s="18" t="str">
        <f>VLOOKUP(B51,[2]Sheet1!$A$2:$K$10,11,0)</f>
        <v>Soundful</v>
      </c>
      <c r="H51" s="18" t="str">
        <f>VLOOKUP(B51,[2]Sheet1!$A$2:$F$10,6,0)</f>
        <v>aduduk@altir.co</v>
      </c>
      <c r="I51" s="23" t="s">
        <v>146</v>
      </c>
    </row>
    <row r="52" spans="1:9" ht="29" x14ac:dyDescent="0.35">
      <c r="A52" s="22">
        <v>2</v>
      </c>
      <c r="B52" s="23" t="s">
        <v>147</v>
      </c>
      <c r="C52" s="25" t="s">
        <v>148</v>
      </c>
      <c r="D52" s="18" t="str">
        <f>VLOOKUP(B52,[2]Sheet1!$A$2:$E$10,5,0)</f>
        <v>Lead UI</v>
      </c>
      <c r="E52" s="18" t="str">
        <f>VLOOKUP(B52,[2]Sheet1!$A$2:$L$10,12,0)</f>
        <v>Sandeep Kumar Thatikonda</v>
      </c>
      <c r="F52" s="18" t="str">
        <f>VLOOKUP(B52,[2]Sheet1!$A$2:$N$10,14,0)</f>
        <v>Chip1</v>
      </c>
      <c r="G52" s="18" t="str">
        <f>VLOOKUP(B52,[2]Sheet1!$A$2:$K$10,11,0)</f>
        <v/>
      </c>
      <c r="H52" s="18" t="str">
        <f>VLOOKUP(B52,[2]Sheet1!$A$2:$F$10,6,0)</f>
        <v>ayermakov@altir.co</v>
      </c>
      <c r="I52" s="23" t="s">
        <v>146</v>
      </c>
    </row>
    <row r="53" spans="1:9" ht="29" x14ac:dyDescent="0.35">
      <c r="A53" s="22">
        <v>3</v>
      </c>
      <c r="B53" s="23" t="s">
        <v>149</v>
      </c>
      <c r="C53" s="25" t="s">
        <v>150</v>
      </c>
      <c r="D53" s="18" t="str">
        <f>VLOOKUP(B53,[2]Sheet1!$A$2:$E$10,5,0)</f>
        <v>Architect</v>
      </c>
      <c r="E53" s="18" t="str">
        <f>VLOOKUP(B53,[2]Sheet1!$A$2:$L$10,12,0)</f>
        <v>Sandeep Kumar Thatikonda</v>
      </c>
      <c r="F53" s="18" t="str">
        <f>VLOOKUP(B53,[2]Sheet1!$A$2:$N$10,14,0)</f>
        <v>Chip1</v>
      </c>
      <c r="G53" s="18" t="str">
        <f>VLOOKUP(B53,[2]Sheet1!$A$2:$K$10,11,0)</f>
        <v>Foundation</v>
      </c>
      <c r="H53" s="18" t="str">
        <f>VLOOKUP(B53,[2]Sheet1!$A$2:$F$10,6,0)</f>
        <v>akuznetcov@altir.co</v>
      </c>
      <c r="I53" s="23" t="s">
        <v>146</v>
      </c>
    </row>
    <row r="54" spans="1:9" ht="29" x14ac:dyDescent="0.35">
      <c r="A54" s="22">
        <v>4</v>
      </c>
      <c r="B54" s="23" t="s">
        <v>152</v>
      </c>
      <c r="C54" s="25" t="s">
        <v>153</v>
      </c>
      <c r="D54" s="18" t="str">
        <f>VLOOKUP(B54,[2]Sheet1!$A$2:$E$10,5,0)</f>
        <v>Software Engineer</v>
      </c>
      <c r="E54" s="18" t="str">
        <f>VLOOKUP(B54,[2]Sheet1!$A$2:$L$10,12,0)</f>
        <v>Sandeep Kumar Thatikonda</v>
      </c>
      <c r="F54" s="18" t="str">
        <f>VLOOKUP(B54,[2]Sheet1!$A$2:$N$10,14,0)</f>
        <v>Soundful</v>
      </c>
      <c r="G54" s="18" t="str">
        <f>VLOOKUP(B54,[2]Sheet1!$A$2:$K$10,11,0)</f>
        <v/>
      </c>
      <c r="H54" s="18" t="str">
        <f>VLOOKUP(B54,[2]Sheet1!$A$2:$F$10,6,0)</f>
        <v>mmonich@altir.co</v>
      </c>
      <c r="I54" s="23" t="s">
        <v>151</v>
      </c>
    </row>
    <row r="55" spans="1:9" ht="29" x14ac:dyDescent="0.35">
      <c r="A55" s="22">
        <v>5</v>
      </c>
      <c r="B55" s="23" t="s">
        <v>154</v>
      </c>
      <c r="C55" s="25" t="s">
        <v>155</v>
      </c>
      <c r="D55" s="18" t="str">
        <f>VLOOKUP(B55,[2]Sheet1!$A$2:$E$10,5,0)</f>
        <v>Lead Software Engineer</v>
      </c>
      <c r="E55" s="18" t="str">
        <f>VLOOKUP(B55,[2]Sheet1!$A$2:$L$10,12,0)</f>
        <v>Deepti N</v>
      </c>
      <c r="F55" s="18" t="str">
        <f>VLOOKUP(B55,[2]Sheet1!$A$2:$N$10,14,0)</f>
        <v>Foundation</v>
      </c>
      <c r="G55" s="18" t="str">
        <f>VLOOKUP(B55,[2]Sheet1!$A$2:$K$10,11,0)</f>
        <v/>
      </c>
      <c r="H55" s="18" t="str">
        <f>VLOOKUP(B55,[2]Sheet1!$A$2:$F$10,6,0)</f>
        <v>svareyko@altir.co</v>
      </c>
      <c r="I55" s="23" t="s">
        <v>151</v>
      </c>
    </row>
    <row r="56" spans="1:9" ht="29" x14ac:dyDescent="0.35">
      <c r="A56" s="22">
        <v>6</v>
      </c>
      <c r="B56" s="23" t="s">
        <v>156</v>
      </c>
      <c r="C56" s="25" t="s">
        <v>157</v>
      </c>
      <c r="D56" s="18" t="str">
        <f>VLOOKUP(B56,[2]Sheet1!$A$2:$E$10,5,0)</f>
        <v>DevOps Engineer</v>
      </c>
      <c r="E56" s="18" t="str">
        <f>VLOOKUP(B56,[2]Sheet1!$A$2:$L$10,12,0)</f>
        <v>Kandarp Shah</v>
      </c>
      <c r="F56" s="18" t="str">
        <f>VLOOKUP(B56,[2]Sheet1!$A$2:$N$10,14,0)</f>
        <v>Infra</v>
      </c>
      <c r="G56" s="18" t="str">
        <f>VLOOKUP(B56,[2]Sheet1!$A$2:$K$10,11,0)</f>
        <v/>
      </c>
      <c r="H56" s="18" t="str">
        <f>VLOOKUP(B56,[2]Sheet1!$A$2:$F$10,6,0)</f>
        <v>sus@altir.co</v>
      </c>
      <c r="I56" s="23" t="s">
        <v>151</v>
      </c>
    </row>
  </sheetData>
  <mergeCells count="2">
    <mergeCell ref="A47:B47"/>
    <mergeCell ref="A1:G1"/>
  </mergeCells>
  <hyperlinks>
    <hyperlink ref="H43" r:id="rId1" display="mailto:areddy@altir.co" xr:uid="{3EDDA635-D812-4F34-9130-5A2E8F964F20}"/>
    <hyperlink ref="H44" r:id="rId2" display="mailto:tlautawar@altir.co" xr:uid="{CEAFB3EF-014D-494D-9C6A-F5E29C98011D}"/>
    <hyperlink ref="H45" r:id="rId3" display="mailto:skalakunta@altir.co" xr:uid="{BBDB7BA4-1DA2-4623-A490-E0E2D356389A}"/>
    <hyperlink ref="H46" r:id="rId4" display="mailto:pshah@altir.co" xr:uid="{3823BF8D-EF13-4438-9695-015EBF9CFB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Leena Errampally</dc:creator>
  <cp:lastModifiedBy>Leena Errampally</cp:lastModifiedBy>
  <dcterms:created xsi:type="dcterms:W3CDTF">2026-05-12T08:18:09Z</dcterms:created>
  <dcterms:modified xsi:type="dcterms:W3CDTF">2026-05-12T09:19:25Z</dcterms:modified>
</cp:coreProperties>
</file>